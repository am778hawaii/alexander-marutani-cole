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772ce8439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b07f2038a4a4c8f"/>
    <x:sheet xmlns:r="http://schemas.openxmlformats.org/officeDocument/2006/relationships" name="Legend_Key" sheetId="2" r:id="Rbfe8d63f591f47ae"/>
    <x:sheet xmlns:r="http://schemas.openxmlformats.org/officeDocument/2006/relationships" name="Inputs" sheetId="3" r:id="R181d18839c974f2b"/>
    <x:sheet xmlns:r="http://schemas.openxmlformats.org/officeDocument/2006/relationships" name="Forward_Hedge" sheetId="4" r:id="R5e17d307565d4601"/>
    <x:sheet xmlns:r="http://schemas.openxmlformats.org/officeDocument/2006/relationships" name="Money_Market_Hedge" sheetId="5" r:id="R2fa6801825e64dd3"/>
    <x:sheet xmlns:r="http://schemas.openxmlformats.org/officeDocument/2006/relationships" name="Option_Hedge" sheetId="6" r:id="Redff8d5f167149ff"/>
    <x:sheet xmlns:r="http://schemas.openxmlformats.org/officeDocument/2006/relationships" name="Sensitivity" sheetId="7" r:id="R5a266b818e484b41"/>
    <x:sheet xmlns:r="http://schemas.openxmlformats.org/officeDocument/2006/relationships" name="Notes_Assumptions" sheetId="8" r:id="Rf507e5e71cb94453"/>
  </x:sheets>
  <x:definedNames>
    <x:definedName name="FC_AMT">Inputs!$C$4</x:definedName>
    <x:definedName name="S0_in">Inputs!$C$5</x:definedName>
    <x:definedName name="F0_in">Inputs!$C$6</x:definedName>
    <x:definedName name="R_USD">Inputs!$C$7</x:definedName>
    <x:definedName name="R_FC">Inputs!$C$8</x:definedName>
    <x:definedName name="K_PUT">Inputs!$C$9</x:definedName>
    <x:definedName name="K_CALL">Inputs!$C$10</x:definedName>
    <x:definedName name="PREM_PUT">Inputs!$C$11</x:definedName>
    <x:definedName name="PREM_CALL">Inputs!$C$12</x:definedName>
    <x:definedName name="T_DAYS">Inputs!$C$13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000"/>
    <x:numFmt numFmtId="202" formatCode="0.00%"/>
    <x:numFmt numFmtId="203" formatCode="0"/>
    <x:numFmt numFmtId="204" formatCode="$#,##0;[Red]($#,##0);-"/>
    <x:numFmt numFmtId="205" formatCode="0%"/>
    <x:numFmt numFmtId="206" formatCode="$#,##0.00;[Red]($#,##0.00);-"/>
    <x:numFmt numFmtId="207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5" fontId="0" fillId="5" borderId="0" xfId="0" applyNumberFormat="1" applyFont="1" applyFill="1" applyBorder="1"/>
    <x:xf numFmtId="205" fontId="0" fillId="5" borderId="1" xfId="0" applyNumberFormat="1" applyFont="1" applyFill="1" applyBorder="1"/>
    <x:xf numFmtId="206" fontId="0" fillId="6" borderId="0" xfId="0" applyNumberFormat="1" applyFont="1" applyFill="1" applyBorder="1"/>
    <x:xf numFmtId="206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7" fontId="0" fillId="6" borderId="0" xfId="0" applyNumberFormat="1" applyFont="1" applyFill="1" applyBorder="1"/>
    <x:xf numFmtId="207" fontId="0" fillId="6" borderId="1" xfId="0" applyNumberFormat="1" applyFont="1" applyFill="1" applyBorder="1"/>
    <x:xf numFmtId="0" fontId="0" fillId="0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9" borderId="0" xfId="0" applyNumberFormat="1" applyFont="1" applyFill="1" applyBorder="1"/>
    <x:xf numFmtId="206" fontId="0" fillId="9" borderId="0" xfId="0" applyNumberFormat="1" applyFont="1" applyFill="1" applyBorder="1"/>
    <x:xf numFmtId="207" fontId="0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c4e6d960845f2" /><Relationship Type="http://schemas.openxmlformats.org/officeDocument/2006/relationships/theme" Target="/xl/theme/theme1.xml" Id="Rb937fd1183af470e" /><Relationship Type="http://schemas.openxmlformats.org/officeDocument/2006/relationships/sharedStrings" Target="/xl/sharedStrings.xml" Id="R1f5e639747d344d6" /><Relationship Type="http://schemas.openxmlformats.org/officeDocument/2006/relationships/worksheet" Target="/xl/worksheets/sheet1.xml" Id="Rfb07f2038a4a4c8f" /><Relationship Type="http://schemas.openxmlformats.org/officeDocument/2006/relationships/worksheet" Target="/xl/worksheets/sheet2.xml" Id="Rbfe8d63f591f47ae" /><Relationship Type="http://schemas.openxmlformats.org/officeDocument/2006/relationships/worksheet" Target="/xl/worksheets/sheet3.xml" Id="R181d18839c974f2b" /><Relationship Type="http://schemas.openxmlformats.org/officeDocument/2006/relationships/worksheet" Target="/xl/worksheets/sheet4.xml" Id="R5e17d307565d4601" /><Relationship Type="http://schemas.openxmlformats.org/officeDocument/2006/relationships/worksheet" Target="/xl/worksheets/sheet5.xml" Id="R2fa6801825e64dd3" /><Relationship Type="http://schemas.openxmlformats.org/officeDocument/2006/relationships/worksheet" Target="/xl/worksheets/sheet6.xml" Id="Redff8d5f167149ff" /><Relationship Type="http://schemas.openxmlformats.org/officeDocument/2006/relationships/worksheet" Target="/xl/worksheets/sheet7.xml" Id="R5a266b818e484b41" /><Relationship Type="http://schemas.openxmlformats.org/officeDocument/2006/relationships/worksheet" Target="/xl/worksheets/sheet8.xml" Id="Rf507e5e71cb944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d726ae877145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USD Proceeds by Ending EURUSD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Unhedged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'Sensitivity'!$C$4:$C$14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Forward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'Sensitivity'!$D$4:$D$14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Money Market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'Sensitivity'!$E$4:$E$14</c:f>
              <c:numCache>
                <c:formatCode>$#,##0;[Red]($#,##0);-</c:formatCode>
                <c:ptCount val="0"/>
              </c:numCache>
            </c:numRef>
          </c:val>
        </c:ser>
        <c:ser>
          <c:idx val="3"/>
          <c:order val="3"/>
          <c:tx>
            <c:v>Put Hedge Net Proceeds</c:v>
          </c:tx>
          <c:marker>
            <c:symbol val="none"/>
          </c:marker>
          <c:cat>
            <c:strRef>
              <c:f>'Sensitivity'!$B$4:$B$14</c:f>
              <c:strCache>
                <c:ptCount val="0"/>
              </c:strCache>
            </c:strRef>
          </c:cat>
          <c:val>
            <c:numRef>
              <c:f>'Sensitivity'!$F$4:$F$14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d726ae877145a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d008ca1fd36474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28" hidden="0" customWidth="1"/>
    <x:col min="4" max="4" width="46" hidden="0" customWidth="1"/>
    <x:col min="5" max="5" width="30" hidden="0" customWidth="1"/>
  </x:cols>
  <x:sheetData>
    <x:row r="1" ht="28" customHeight="1">
      <x:c r="A1" s="18" t="str">
        <x:v>FX Hedging Model — EUR 4.5MM Receivable</x:v>
      </x:c>
      <x:c r="B1" s="18"/>
      <x:c r="C1" s="18"/>
      <x:c r="D1" s="18"/>
      <x:c r="E1" s="18"/>
      <x:c r="F1" s="18"/>
      <x:c r="G1" s="18"/>
    </x:row>
    <x:row r="2">
      <x:c r="A2" s="19"/>
      <x:c r="B2" s="19"/>
      <x:c r="C2" s="19"/>
      <x:c r="D2" s="19"/>
      <x:c r="E2" s="19"/>
      <x:c r="F2" s="19"/>
      <x:c r="G2" s="19"/>
    </x:row>
    <x:row r="3">
      <x:c r="A3" s="20" t="str">
        <x:v>Author</x:v>
      </x:c>
      <x:c r="B3" s="19" t="str">
        <x:v>Alexander Marutani-Cole</x:v>
      </x:c>
      <x:c r="C3" s="19"/>
      <x:c r="D3" s="19"/>
      <x:c r="E3" s="19"/>
      <x:c r="F3" s="19"/>
      <x:c r="G3" s="19"/>
    </x:row>
    <x:row r="4">
      <x:c r="A4" s="20" t="str">
        <x:v>Course</x:v>
      </x:c>
      <x:c r="B4" s="19" t="str">
        <x:v>FIN 321 · International Business Finance · Summer 2026 (Sec. 701)</x:v>
      </x:c>
      <x:c r="C4" s="19"/>
      <x:c r="D4" s="19"/>
      <x:c r="E4" s="19"/>
      <x:c r="F4" s="19"/>
      <x:c r="G4" s="19"/>
    </x:row>
    <x:row r="5">
      <x:c r="A5" s="20" t="str">
        <x:v>Build date</x:v>
      </x:c>
      <x:c r="B5" s="19" t="str">
        <x:v>2026-08-07</x:v>
      </x:c>
      <x:c r="C5" s="19"/>
      <x:c r="D5" s="19"/>
      <x:c r="E5" s="19"/>
      <x:c r="F5" s="19"/>
      <x:c r="G5" s="19"/>
    </x:row>
    <x:row r="6">
      <x:c r="A6" s="20" t="str">
        <x:v>Scenario</x:v>
      </x:c>
      <x:c r="B6" s="19" t="str">
        <x:v>EUR 4,500,000 receivable due in one year</x:v>
      </x:c>
      <x:c r="C6" s="19"/>
      <x:c r="D6" s="19"/>
      <x:c r="E6" s="19"/>
      <x:c r="F6" s="19"/>
      <x:c r="G6" s="19"/>
    </x:row>
    <x:row r="7">
      <x:c r="A7" s="20" t="str">
        <x:v>Base currency</x:v>
      </x:c>
      <x:c r="B7" s="19" t="str">
        <x:v>USD</x:v>
      </x:c>
      <x:c r="C7" s="19"/>
      <x:c r="D7" s="19"/>
      <x:c r="E7" s="19"/>
      <x:c r="F7" s="19"/>
      <x:c r="G7" s="19"/>
    </x:row>
    <x:row r="8">
      <x:c r="A8" s="20" t="str">
        <x:v>Foreign currency</x:v>
      </x:c>
      <x:c r="B8" s="19" t="str">
        <x:v>EUR</x:v>
      </x:c>
      <x:c r="C8" s="19"/>
      <x:c r="D8" s="19"/>
      <x:c r="E8" s="19"/>
      <x:c r="F8" s="19"/>
      <x:c r="G8" s="19"/>
    </x:row>
    <x:row r="9">
      <x:c r="A9" s="20" t="str">
        <x:v>Status</x:v>
      </x:c>
      <x:c r="B9" s="19" t="str">
        <x:v>Phase 4 — live market data populated; formulas and sensitivity revalidated</x:v>
      </x:c>
      <x:c r="C9" s="19"/>
      <x:c r="D9" s="19"/>
      <x:c r="E9" s="19"/>
      <x:c r="F9" s="19"/>
      <x:c r="G9" s="19"/>
    </x:row>
    <x:row r="10">
      <x:c r="A10" s="19"/>
      <x:c r="B10" s="19"/>
      <x:c r="C10" s="19"/>
      <x:c r="D10" s="19"/>
      <x:c r="E10" s="19"/>
      <x:c r="F10" s="19"/>
      <x:c r="G10" s="19"/>
    </x:row>
    <x:row r="11">
      <x:c r="A11" s="21" t="str">
        <x:v>Data Provenance</x:v>
      </x:c>
      <x:c r="B11" s="21"/>
      <x:c r="C11" s="21"/>
      <x:c r="D11" s="21"/>
      <x:c r="E11" s="21"/>
      <x:c r="F11" s="21"/>
      <x:c r="G11" s="21"/>
    </x:row>
    <x:row r="12">
      <x:c r="A12" s="69" t="str">
        <x:v>Input group</x:v>
      </x:c>
      <x:c r="B12" s="69" t="str">
        <x:v>Current status</x:v>
      </x:c>
      <x:c r="C12" s="69" t="str">
        <x:v>Phase 4 source</x:v>
      </x:c>
      <x:c r="D12" s="69" t="str">
        <x:v>URL</x:v>
      </x:c>
      <x:c r="E12" s="69" t="str">
        <x:v>Notes</x:v>
      </x:c>
      <x:c r="F12" s="19"/>
      <x:c r="G12" s="19"/>
    </x:row>
    <x:row r="13">
      <x:c r="A13" s="19" t="str">
        <x:v>Exposure</x:v>
      </x:c>
      <x:c r="B13" s="19" t="str">
        <x:v>Scenario</x:v>
      </x:c>
      <x:c r="C13" s="19" t="str">
        <x:v>Course scenario</x:v>
      </x:c>
      <x:c r="D13" s="19" t="str"/>
      <x:c r="E13" s="19" t="str">
        <x:v>EUR 4.5MM due in one year</x:v>
      </x:c>
      <x:c r="F13" s="19"/>
      <x:c r="G13" s="19"/>
    </x:row>
    <x:row r="14">
      <x:c r="A14" s="19" t="str">
        <x:v>Spot FX</x:v>
      </x:c>
      <x:c r="B14" s="19" t="str">
        <x:v>Live 2026-08-07</x:v>
      </x:c>
      <x:c r="C14" s="19" t="str">
        <x:v>ECB reference rate</x:v>
      </x:c>
      <x:c r="D14" s="19" t="str">
        <x:v>https://www.ecb.europa.eu/stats/policy_and_exchange_rates/euro_reference_exchange_rates/html/eurofxref-graph-usd.en.html</x:v>
      </x:c>
      <x:c r="E14" s="19" t="str">
        <x:v>EUR 1 = USD 1.1535</x:v>
      </x:c>
      <x:c r="F14" s="19"/>
      <x:c r="G14" s="19"/>
    </x:row>
    <x:row r="15">
      <x:c r="A15" s="19" t="str">
        <x:v>USD rate</x:v>
      </x:c>
      <x:c r="B15" s="19" t="str">
        <x:v>Latest published at retrieval</x:v>
      </x:c>
      <x:c r="C15" s="19" t="str">
        <x:v>FRED / Federal Reserve DGS1</x:v>
      </x:c>
      <x:c r="D15" s="19" t="str">
        <x:v>https://fred.stlouisfed.org/series/DGS1</x:v>
      </x:c>
      <x:c r="E15" s="19" t="str">
        <x:v>2026-08-06 observation: 4.06%; retrieved 2026-08-07</x:v>
      </x:c>
      <x:c r="F15" s="19"/>
      <x:c r="G15" s="19"/>
    </x:row>
    <x:row r="16">
      <x:c r="A16" s="19" t="str">
        <x:v>EUR rate</x:v>
      </x:c>
      <x:c r="B16" s="19" t="str">
        <x:v>Live reference-rate proxy</x:v>
      </x:c>
      <x:c r="C16" s="19" t="str">
        <x:v>ECB deposit facility</x:v>
      </x:c>
      <x:c r="D16" s="19" t="str">
        <x:v>https://www.ecb.europa.eu/stats/policy_and_exchange_rates/key_ecb_interest_rates/html/index.en.html</x:v>
      </x:c>
      <x:c r="E16" s="19" t="str">
        <x:v>2.25%; effective 2026-06-17</x:v>
      </x:c>
      <x:c r="F16" s="19"/>
      <x:c r="G16" s="19"/>
    </x:row>
    <x:row r="17">
      <x:c r="A17" s="19" t="str">
        <x:v>Forward</x:v>
      </x:c>
      <x:c r="B17" s="19" t="str">
        <x:v>Computed</x:v>
      </x:c>
      <x:c r="C17" s="19" t="str">
        <x:v>Covered interest parity</x:v>
      </x:c>
      <x:c r="D17" s="19" t="str"/>
      <x:c r="E17" s="19" t="str">
        <x:v>F0 = S0×(1+R_USD×T/360)/(1+R_FC×T/360)</x:v>
      </x:c>
      <x:c r="F17" s="19"/>
      <x:c r="G17" s="19"/>
    </x:row>
    <x:row r="18">
      <x:c r="A18" s="19"/>
      <x:c r="B18" s="19"/>
      <x:c r="C18" s="19"/>
      <x:c r="D18" s="19"/>
      <x:c r="E18" s="19"/>
      <x:c r="F18" s="19"/>
      <x:c r="G18" s="19"/>
    </x:row>
    <x:row r="19">
      <x:c r="A19" s="19"/>
      <x:c r="B19" s="19"/>
      <x:c r="C19" s="19"/>
      <x:c r="D19" s="19"/>
      <x:c r="E19" s="19"/>
      <x:c r="F19" s="19"/>
      <x:c r="G19" s="19"/>
    </x:row>
    <x:row r="20">
      <x:c r="A20" s="19"/>
      <x:c r="B20" s="19"/>
      <x:c r="C20" s="19"/>
      <x:c r="D20" s="19"/>
      <x:c r="E20" s="19"/>
      <x:c r="F20" s="19"/>
      <x:c r="G20" s="19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8" t="str">
        <x:v>Legend / Key</x:v>
      </x:c>
      <x:c r="B1" s="18"/>
      <x:c r="C1" s="18"/>
      <x:c r="D1" s="18"/>
      <x:c r="E1" s="18"/>
    </x:row>
    <x:row r="2">
      <x:c r="A2" s="19"/>
      <x:c r="B2" s="19"/>
      <x:c r="C2" s="19"/>
      <x:c r="D2" s="19"/>
      <x:c r="E2" s="19"/>
    </x:row>
    <x:row r="3">
      <x:c r="A3" s="21" t="str">
        <x:v>Convention</x:v>
      </x:c>
      <x:c r="B3" s="21" t="str">
        <x:v>Meaning</x:v>
      </x:c>
      <x:c r="C3" s="21" t="str">
        <x:v>Use</x:v>
      </x:c>
      <x:c r="D3" s="19"/>
      <x:c r="E3" s="19"/>
    </x:row>
    <x:row r="4">
      <x:c r="A4" s="34" t="str">
        <x:v>Yellow</x:v>
      </x:c>
      <x:c r="B4" s="34" t="str">
        <x:v>Inputs — user-editable values</x:v>
      </x:c>
      <x:c r="C4" s="34" t="str">
        <x:v>Inputs tab</x:v>
      </x:c>
      <x:c r="D4" s="19"/>
      <x:c r="E4" s="19"/>
    </x:row>
    <x:row r="5">
      <x:c r="A5" s="35" t="str">
        <x:v>Blue</x:v>
      </x:c>
      <x:c r="B5" s="35" t="str">
        <x:v>Assumptions / conventions</x:v>
      </x:c>
      <x:c r="C5" s="35" t="str">
        <x:v>Notes and assumptions</x:v>
      </x:c>
      <x:c r="D5" s="19"/>
      <x:c r="E5" s="19"/>
    </x:row>
    <x:row r="6">
      <x:c r="A6" s="36" t="str">
        <x:v>Green</x:v>
      </x:c>
      <x:c r="B6" s="36" t="str">
        <x:v>Formulas / calculations</x:v>
      </x:c>
      <x:c r="C6" s="36" t="str">
        <x:v>Hedge and sensitivity calculations</x:v>
      </x:c>
      <x:c r="D6" s="19"/>
      <x:c r="E6" s="19"/>
    </x:row>
    <x:row r="7">
      <x:c r="A7" s="37" t="str">
        <x:v>Gray</x:v>
      </x:c>
      <x:c r="B7" s="37" t="str">
        <x:v>Outputs / checks</x:v>
      </x:c>
      <x:c r="C7" s="37" t="str">
        <x:v>Decision outputs and validation</x:v>
      </x:c>
      <x:c r="D7" s="19"/>
      <x:c r="E7" s="19"/>
    </x:row>
    <x:row r="8">
      <x:c r="A8" s="19"/>
      <x:c r="B8" s="19"/>
      <x:c r="C8" s="19"/>
      <x:c r="D8" s="19"/>
      <x:c r="E8" s="19"/>
    </x:row>
    <x:row r="9">
      <x:c r="A9" s="21" t="str">
        <x:v>Model Conventions</x:v>
      </x:c>
      <x:c r="B9" s="21"/>
      <x:c r="C9" s="21"/>
      <x:c r="D9" s="21"/>
      <x:c r="E9" s="21"/>
    </x:row>
    <x:row r="10">
      <x:c r="A10" s="35" t="str">
        <x:v>FX quote</x:v>
      </x:c>
      <x:c r="B10" s="19" t="str">
        <x:v>USD per EUR</x:v>
      </x:c>
      <x:c r="C10" s="19"/>
      <x:c r="D10" s="19"/>
      <x:c r="E10" s="19"/>
    </x:row>
    <x:row r="11">
      <x:c r="A11" s="35" t="str">
        <x:v>Interest basis</x:v>
      </x:c>
      <x:c r="B11" s="19" t="str">
        <x:v>ACT/360 simple annualized</x:v>
      </x:c>
      <x:c r="C11" s="19"/>
      <x:c r="D11" s="19"/>
      <x:c r="E11" s="19"/>
    </x:row>
    <x:row r="12">
      <x:c r="A12" s="35" t="str">
        <x:v>Option premium</x:v>
      </x:c>
      <x:c r="B12" s="19" t="str">
        <x:v>USD/EUR paid today; total premium = premium × FC_AMT</x:v>
      </x:c>
      <x:c r="C12" s="19"/>
      <x:c r="D12" s="19"/>
      <x:c r="E12" s="19"/>
    </x:row>
    <x:row r="13">
      <x:c r="A13" s="35" t="str">
        <x:v>Transaction costs</x:v>
      </x:c>
      <x:c r="B13" s="19" t="str">
        <x:v>Ignored except explicit option premiums</x:v>
      </x:c>
      <x:c r="C13" s="19"/>
      <x:c r="D13" s="19"/>
      <x:c r="E13" s="19"/>
    </x:row>
    <x:row r="14">
      <x:c r="A14" s="35" t="str">
        <x:v>Forward parity</x:v>
      </x:c>
      <x:c r="B14" s="19" t="str">
        <x:v>Quoted forward expected to approximate covered interest parity</x:v>
      </x:c>
      <x:c r="C14" s="19"/>
      <x:c r="D14" s="19"/>
      <x:c r="E14" s="19"/>
    </x:row>
    <x:row r="15">
      <x:c r="A15" s="35" t="str">
        <x:v>Sensitivity</x:v>
      </x:c>
      <x:c r="B15" s="19" t="str">
        <x:v>S_T = 95% to 105% of S0_in in 1% steps</x:v>
      </x:c>
      <x:c r="C15" s="19"/>
      <x:c r="D15" s="19"/>
      <x:c r="E15" s="19"/>
    </x:row>
    <x:row r="16">
      <x:c r="A16" s="19"/>
      <x:c r="B16" s="19"/>
      <x:c r="C16" s="19"/>
      <x:c r="D16" s="19"/>
      <x:c r="E16" s="19"/>
    </x:row>
    <x:row r="17">
      <x:c r="A17" s="19"/>
      <x:c r="B17" s="19"/>
      <x:c r="C17" s="19"/>
      <x:c r="D17" s="19"/>
      <x:c r="E17" s="19"/>
    </x:row>
    <x:row r="18">
      <x:c r="A18" s="19"/>
      <x:c r="B18" s="19"/>
      <x:c r="C18" s="19"/>
      <x:c r="D18" s="19"/>
      <x:c r="E18" s="19"/>
    </x:row>
  </x:sheetData>
  <x:mergeCells>
    <x:mergeCell ref="A1:E1"/>
    <x:mergeCell ref="A9:E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34" hidden="0" customWidth="1"/>
    <x:col min="6" max="6" width="22" hidden="0" customWidth="1"/>
  </x:cols>
  <x:sheetData>
    <x:row r="1" ht="28" customHeight="1">
      <x:c r="A1" s="5" t="str">
        <x:v>Inputs — Indicative Placeholders</x:v>
      </x:c>
      <x:c r="B1" s="5"/>
      <x:c r="C1" s="5"/>
      <x:c r="D1" s="5"/>
      <x:c r="E1" s="5"/>
      <x:c r="F1" s="5"/>
    </x:row>
    <x:row r="3">
      <x:c r="A3" s="10" t="str">
        <x:v>Named Range</x:v>
      </x:c>
      <x:c r="B3" s="10" t="str">
        <x:v>Description</x:v>
      </x:c>
      <x:c r="C3" s="10" t="str">
        <x:v>Placeholder</x:v>
      </x:c>
      <x:c r="D3" s="10" t="str">
        <x:v>Unit</x:v>
      </x:c>
      <x:c r="E3" s="10" t="str">
        <x:v>Phase 4 Source</x:v>
      </x:c>
      <x:c r="F3" s="10" t="str">
        <x:v>Status</x:v>
      </x:c>
    </x:row>
    <x:row r="4">
      <x:c r="A4" t="str">
        <x:v>FC_AMT</x:v>
      </x:c>
      <x:c r="B4" t="str">
        <x:v>Foreign-currency receivable</x:v>
      </x:c>
      <x:c r="C4" s="44" t="n">
        <x:v>4500000</x:v>
      </x:c>
      <x:c r="D4" t="str">
        <x:v>EUR</x:v>
      </x:c>
      <x:c r="E4" t="str">
        <x:v>Assigned scenario</x:v>
      </x:c>
      <x:c r="F4" s="12" t="str">
        <x:v>Scenario</x:v>
      </x:c>
    </x:row>
    <x:row r="5">
      <x:c r="A5" t="str">
        <x:v>S0_in</x:v>
      </x:c>
      <x:c r="B5" t="str">
        <x:v>Spot EURUSD</x:v>
      </x:c>
      <x:c r="C5" s="46" t="n">
        <x:v>1.1535</x:v>
      </x:c>
      <x:c r="D5" t="str">
        <x:v>USD/EUR</x:v>
      </x:c>
      <x:c r="E5" t="str">
        <x:v>ECB euro reference exchange rate — 2026-08-07</x:v>
      </x:c>
      <x:c r="F5" s="12" t="str">
        <x:v>Live</x:v>
      </x:c>
    </x:row>
    <x:row r="6">
      <x:c r="A6" t="str">
        <x:v>F0_in</x:v>
      </x:c>
      <x:c r="B6" t="str">
        <x:v>1-year forward EURUSD</x:v>
      </x:c>
      <x:c r="C6" s="46" t="n">
        <x:v>1.174196195131887</x:v>
      </x:c>
      <x:c r="D6" t="str">
        <x:v>USD/EUR</x:v>
      </x:c>
      <x:c r="E6" t="str">
        <x:v>CIP-implied from S0_in, R_USD, R_FC, T_DAYS</x:v>
      </x:c>
      <x:c r="F6" s="12" t="str">
        <x:v>Computed</x:v>
      </x:c>
    </x:row>
    <x:row r="7">
      <x:c r="A7" t="str">
        <x:v>R_USD</x:v>
      </x:c>
      <x:c r="B7" t="str">
        <x:v>USD annual interest rate</x:v>
      </x:c>
      <x:c r="C7" s="48" t="n">
        <x:v>0.0406</x:v>
      </x:c>
      <x:c r="D7" t="str">
        <x:v>annual rate</x:v>
      </x:c>
      <x:c r="E7" t="str">
        <x:v>FRED DGS1 — 2026-08-06 observation, latest available 2026-08-07</x:v>
      </x:c>
      <x:c r="F7" s="12" t="str">
        <x:v>Live / latest published</x:v>
      </x:c>
    </x:row>
    <x:row r="8">
      <x:c r="A8" t="str">
        <x:v>R_FC</x:v>
      </x:c>
      <x:c r="B8" t="str">
        <x:v>EUR annual interest rate</x:v>
      </x:c>
      <x:c r="C8" s="48" t="n">
        <x:v>0.0225</x:v>
      </x:c>
      <x:c r="D8" t="str">
        <x:v>annual rate</x:v>
      </x:c>
      <x:c r="E8" t="str">
        <x:v>ECB deposit facility rate — effective 2026-06-17; used as EUR reference-rate proxy</x:v>
      </x:c>
      <x:c r="F8" s="12" t="str">
        <x:v>Live reference-rate proxy</x:v>
      </x:c>
    </x:row>
    <x:row r="9">
      <x:c r="A9" t="str">
        <x:v>K_PUT</x:v>
      </x:c>
      <x:c r="B9" t="str">
        <x:v>EUR put strike</x:v>
      </x:c>
      <x:c r="C9" s="46" t="n">
        <x:v>1.15</x:v>
      </x:c>
      <x:c r="D9" t="str">
        <x:v>USD/EUR</x:v>
      </x:c>
      <x:c r="E9" t="str">
        <x:v>Near-spot strike selected for Phase 4</x:v>
      </x:c>
      <x:c r="F9" s="12" t="str">
        <x:v>Phase 4 convention</x:v>
      </x:c>
    </x:row>
    <x:row r="10">
      <x:c r="A10" t="str">
        <x:v>K_CALL</x:v>
      </x:c>
      <x:c r="B10" t="str">
        <x:v>EUR call strike</x:v>
      </x:c>
      <x:c r="C10" s="46" t="n">
        <x:v>1.16</x:v>
      </x:c>
      <x:c r="D10" t="str">
        <x:v>USD/EUR</x:v>
      </x:c>
      <x:c r="E10" t="str">
        <x:v>Near-spot strike selected for Phase 4</x:v>
      </x:c>
      <x:c r="F10" s="12" t="str">
        <x:v>Phase 4 convention</x:v>
      </x:c>
    </x:row>
    <x:row r="11">
      <x:c r="A11" t="str">
        <x:v>PREM_PUT</x:v>
      </x:c>
      <x:c r="B11" t="str">
        <x:v>EUR put premium</x:v>
      </x:c>
      <x:c r="C11" s="46" t="n">
        <x:v>0.02</x:v>
      </x:c>
      <x:c r="D11" t="str">
        <x:v>USD/EUR</x:v>
      </x:c>
      <x:c r="E11" t="str">
        <x:v>Scenario-given premium retained per Phase 4 instructions</x:v>
      </x:c>
      <x:c r="F11" s="12" t="str">
        <x:v>Assumption</x:v>
      </x:c>
    </x:row>
    <x:row r="12">
      <x:c r="A12" t="str">
        <x:v>PREM_CALL</x:v>
      </x:c>
      <x:c r="B12" t="str">
        <x:v>EUR call premium</x:v>
      </x:c>
      <x:c r="C12" s="46" t="n">
        <x:v>0.018</x:v>
      </x:c>
      <x:c r="D12" t="str">
        <x:v>USD/EUR</x:v>
      </x:c>
      <x:c r="E12" t="str">
        <x:v>Scenario-given premium retained per Phase 4 instructions</x:v>
      </x:c>
      <x:c r="F12" s="12" t="str">
        <x:v>Assumption</x:v>
      </x:c>
    </x:row>
    <x:row r="13">
      <x:c r="A13" t="str">
        <x:v>T_DAYS</x:v>
      </x:c>
      <x:c r="B13" t="str">
        <x:v>Days to settlement</x:v>
      </x:c>
      <x:c r="C13" s="50" t="n">
        <x:v>365</x:v>
      </x:c>
      <x:c r="D13" t="str">
        <x:v>days</x:v>
      </x:c>
      <x:c r="E13" t="str">
        <x:v>Assigned scenario</x:v>
      </x:c>
      <x:c r="F13" s="12" t="str">
        <x:v>Scenario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5" t="str">
        <x:v>Forward Hedge</x:v>
      </x:c>
      <x:c r="B1" s="5"/>
      <x:c r="C1" s="5"/>
      <x:c r="D1" s="5"/>
      <x:c r="E1" s="5"/>
    </x:row>
    <x:row r="3">
      <x:c r="A3" s="10" t="str">
        <x:v>Metric</x:v>
      </x:c>
      <x:c r="B3" s="10" t="str">
        <x:v>Value</x:v>
      </x:c>
    </x:row>
    <x:row r="4">
      <x:c r="A4" t="str">
        <x:v>Receivable (EUR)</x:v>
      </x:c>
      <x:c r="B4" s="52" t="n">
        <x:f>FC_AMT</x:f>
        <x:v>4500000</x:v>
      </x:c>
    </x:row>
    <x:row r="5">
      <x:c r="A5" t="str">
        <x:v>Forward rate (USD/EUR)</x:v>
      </x:c>
      <x:c r="B5" s="54" t="n">
        <x:f>F0_in</x:f>
        <x:v>1.174196195131887</x:v>
      </x:c>
    </x:row>
    <x:row r="6">
      <x:c r="A6" t="str">
        <x:v>Locked USD proceeds</x:v>
      </x:c>
      <x:c r="B6" s="56" t="n">
        <x:f>FC_AMT*F0_in</x:f>
        <x:v>5283882.878093492</x:v>
      </x:c>
    </x:row>
    <x:row r="7">
      <x:c r="A7" t="str">
        <x:v>Interpretation</x:v>
      </x:c>
      <x:c r="B7" t="str">
        <x:v>Locks USD proceeds; gives up benefit if EUR strengthens.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5" t="str">
        <x:v>Money Market Hedge — Three Explicit Steps</x:v>
      </x:c>
      <x:c r="B1" s="5"/>
      <x:c r="C1" s="5"/>
      <x:c r="D1" s="5"/>
      <x:c r="E1" s="5"/>
      <x:c r="F1" s="5"/>
    </x:row>
    <x:row r="3">
      <x:c r="A3" s="10" t="str">
        <x:v>Step / Check</x:v>
      </x:c>
      <x:c r="B3" s="10" t="str">
        <x:v>Named-range logic</x:v>
      </x:c>
      <x:c r="C3" s="10" t="str">
        <x:v>Value</x:v>
      </x:c>
    </x:row>
    <x:row r="4">
      <x:c r="A4" t="str">
        <x:v>1. Borrow EUR today</x:v>
      </x:c>
      <x:c r="B4" t="str">
        <x:v>FC_AMT/(1+R_FC*T_DAYS/360)</x:v>
      </x:c>
      <x:c r="C4" s="52" t="n">
        <x:f>FC_AMT/(1+R_FC*T_DAYS/360)</x:f>
        <x:v>4399633.363886343</x:v>
      </x:c>
    </x:row>
    <x:row r="5">
      <x:c r="A5" t="str">
        <x:v>2. Convert EUR to USD</x:v>
      </x:c>
      <x:c r="B5" t="str">
        <x:v>Step 1 × S0_in</x:v>
      </x:c>
      <x:c r="C5" s="58" t="n">
        <x:f>C4*S0_in</x:f>
        <x:v>5074977.085242897</x:v>
      </x:c>
    </x:row>
    <x:row r="6">
      <x:c r="A6" t="str">
        <x:v>3. Invest USD to settlement</x:v>
      </x:c>
      <x:c r="B6" t="str">
        <x:v>Step 2 × (1+R_USD*T_DAYS/360)</x:v>
      </x:c>
      <x:c r="C6" s="58" t="n">
        <x:f>C5*(1+R_USD*T_DAYS/360)</x:f>
        <x:v>5283882.878093492</x:v>
      </x:c>
    </x:row>
    <x:row r="7">
      <x:c r="A7" t="str">
        <x:v>Implied parity forward</x:v>
      </x:c>
      <x:c r="B7" t="str">
        <x:v>S0_in×(1+R_USD*t)/(1+R_FC*t)</x:v>
      </x:c>
      <x:c r="C7" s="54" t="n">
        <x:f>S0_in*(1+R_USD*T_DAYS/360)/(1+R_FC*T_DAYS/360)</x:f>
        <x:v>1.174196195131887</x:v>
      </x:c>
    </x:row>
    <x:row r="8">
      <x:c r="A8" t="str">
        <x:v>Quoted forward</x:v>
      </x:c>
      <x:c r="B8" t="str">
        <x:v>F0_in</x:v>
      </x:c>
      <x:c r="C8" s="54" t="n">
        <x:f>F0_in</x:f>
        <x:v>1.174196195131887</x:v>
      </x:c>
    </x:row>
    <x:row r="9">
      <x:c r="A9" t="str">
        <x:v>Forward proceeds</x:v>
      </x:c>
      <x:c r="B9" t="str">
        <x:v>FC_AMT×F0_in</x:v>
      </x:c>
      <x:c r="C9" s="58" t="n">
        <x:f>FC_AMT*F0_in</x:f>
        <x:v>5283882.878093492</x:v>
      </x:c>
    </x:row>
    <x:row r="10">
      <x:c r="A10" t="str">
        <x:v>MM proceeds</x:v>
      </x:c>
      <x:c r="B10" t="str">
        <x:v>Step 3</x:v>
      </x:c>
      <x:c r="C10" s="56" t="n">
        <x:f>C6</x:f>
        <x:v>5283882.878093492</x:v>
      </x:c>
    </x:row>
    <x:row r="11">
      <x:c r="A11" t="str">
        <x:v>Parity difference</x:v>
      </x:c>
      <x:c r="B11" t="str">
        <x:v>Forward proceeds − MM proceeds</x:v>
      </x:c>
      <x:c r="C11" s="56" t="n">
        <x:f>C9-C10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26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5" t="str">
        <x:v>Option Hedge — Put and Call</x:v>
      </x:c>
      <x:c r="B1" s="5"/>
      <x:c r="C1" s="5"/>
      <x:c r="D1" s="5"/>
      <x:c r="E1" s="5"/>
      <x:c r="F1" s="5"/>
      <x:c r="G1" s="5"/>
    </x:row>
    <x:row r="3">
      <x:c r="A3" t="str">
        <x:v>Scenario input</x:v>
      </x:c>
      <x:c r="B3" t="str">
        <x:v>Value</x:v>
      </x:c>
    </x:row>
    <x:row r="4">
      <x:c r="A4" t="str">
        <x:v>Ending spot S_T (USD/EUR)</x:v>
      </x:c>
      <x:c r="B4" s="54" t="n">
        <x:f>S0_in</x:f>
        <x:v>1.1535</x:v>
      </x:c>
    </x:row>
    <x:row r="5">
      <x:c r="A5" t="str">
        <x:v>Note</x:v>
      </x:c>
      <x:c r="B5" t="str">
        <x:v>Formula-linked to S0_in here; full S_T scenarios appear on Sensitivity.</x:v>
      </x:c>
    </x:row>
    <x:row r="7">
      <x:c r="A7" s="10" t="str">
        <x:v>Metric</x:v>
      </x:c>
      <x:c r="B7" s="10" t="str">
        <x:v>Unhedged</x:v>
      </x:c>
      <x:c r="C7" s="10" t="str">
        <x:v>EUR Put Hedge</x:v>
      </x:c>
      <x:c r="D7" s="10" t="str">
        <x:v>EUR Call Overlay</x:v>
      </x:c>
      <x:c r="E7" s="10" t="str">
        <x:v>Unit</x:v>
      </x:c>
    </x:row>
    <x:row r="8">
      <x:c r="A8" t="str">
        <x:v>Gross proceeds</x:v>
      </x:c>
      <x:c r="B8" s="58" t="n">
        <x:f>FC_AMT*$B$4</x:f>
        <x:v>5190750</x:v>
      </x:c>
      <x:c r="C8" s="58" t="n">
        <x:f>FC_AMT*$B$4</x:f>
        <x:v>5190750</x:v>
      </x:c>
      <x:c r="D8" s="58" t="n">
        <x:f>FC_AMT*$B$4</x:f>
        <x:v>5190750</x:v>
      </x:c>
      <x:c r="E8" t="str">
        <x:v>USD</x:v>
      </x:c>
    </x:row>
    <x:row r="9">
      <x:c r="A9" t="str">
        <x:v>Option intrinsic payoff</x:v>
      </x:c>
      <x:c r="B9" s="58" t="n">
        <x:f>0*FC_AMT</x:f>
        <x:v>0</x:v>
      </x:c>
      <x:c r="C9" s="58" t="n">
        <x:f>FC_AMT*MAX(K_PUT-$B$4,0)</x:f>
        <x:v>0</x:v>
      </x:c>
      <x:c r="D9" s="58" t="n">
        <x:f>FC_AMT*MAX($B$4-K_CALL,0)</x:f>
        <x:v>0</x:v>
      </x:c>
      <x:c r="E9" t="str">
        <x:v>USD</x:v>
      </x:c>
    </x:row>
    <x:row r="10">
      <x:c r="A10" t="str">
        <x:v>Premium paid today</x:v>
      </x:c>
      <x:c r="B10" s="58" t="n">
        <x:f>0*FC_AMT</x:f>
        <x:v>0</x:v>
      </x:c>
      <x:c r="C10" s="58" t="n">
        <x:f>FC_AMT*PREM_PUT</x:f>
        <x:v>90000</x:v>
      </x:c>
      <x:c r="D10" s="58" t="n">
        <x:f>FC_AMT*PREM_CALL</x:f>
        <x:v>81000</x:v>
      </x:c>
      <x:c r="E10" t="str">
        <x:v>USD</x:v>
      </x:c>
    </x:row>
    <x:row r="11">
      <x:c r="A11" t="str">
        <x:v>Net proceeds</x:v>
      </x:c>
      <x:c r="B11" s="56" t="n">
        <x:f>B8+B9-B10</x:f>
        <x:v>5190750</x:v>
      </x:c>
      <x:c r="C11" s="56" t="n">
        <x:f>C8+C9-C10</x:f>
        <x:v>5100750</x:v>
      </x:c>
      <x:c r="D11" s="56" t="n">
        <x:f>D8+D9-D10</x:f>
        <x:v>5109750</x:v>
      </x:c>
      <x:c r="E11" t="str">
        <x:v>USD</x:v>
      </x:c>
    </x:row>
    <x:row r="12">
      <x:c r="A12" t="str">
        <x:v>Protection / behavior</x:v>
      </x:c>
      <x:c r="B12" t="str">
        <x:v>None</x:v>
      </x:c>
      <x:c r="C12" t="str">
        <x:v>Downside floor; retains upside net of premium</x:v>
      </x:c>
      <x:c r="D12" t="str">
        <x:v>Adds upside exposure; does not protect downside</x:v>
      </x:c>
      <x:c r="E12" t="str"/>
    </x:row>
    <x:row r="13">
      <x:c r="A13" t="str">
        <x:v>Decision rule</x:v>
      </x:c>
      <x:c r="B13" t="str"/>
      <x:c r="C13" t="str">
        <x:v>Exercise if S_T &lt; K_PUT</x:v>
      </x:c>
      <x:c r="D13" t="str">
        <x:v>Exercise if S_T &gt; K_CALL</x:v>
      </x:c>
      <x:c r="E13" t="str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8" customHeight="1">
      <x:c r="A1" s="5" t="str">
        <x:v>Sensitivity — Ending EURUSD ±5% in 1% Steps</x:v>
      </x:c>
      <x:c r="B1" s="5"/>
      <x:c r="C1" s="5"/>
      <x:c r="D1" s="5"/>
      <x:c r="E1" s="5"/>
      <x:c r="F1" s="5"/>
    </x:row>
    <x:row r="3">
      <x:c r="A3" s="10" t="str">
        <x:v>Scenario</x:v>
      </x:c>
      <x:c r="B3" s="10" t="str">
        <x:v>S_T (USD/EUR)</x:v>
      </x:c>
      <x:c r="C3" s="10" t="str">
        <x:v>Unhedged Proceeds</x:v>
      </x:c>
      <x:c r="D3" s="10" t="str">
        <x:v>Forward Proceeds</x:v>
      </x:c>
      <x:c r="E3" s="10" t="str">
        <x:v>Money Market Proceeds</x:v>
      </x:c>
      <x:c r="F3" s="10" t="str">
        <x:v>Put Hedge Net Proceeds</x:v>
      </x:c>
    </x:row>
    <x:row r="4">
      <x:c r="A4" s="60" t="n">
        <x:f>-5%+(ROW()-ROW($A$4))*1%</x:f>
        <x:v>-0.05</x:v>
      </x:c>
      <x:c r="B4" s="54" t="n">
        <x:f>S0_in*(1+A4)</x:f>
        <x:v>1.0958249999999998</x:v>
      </x:c>
      <x:c r="C4" s="58" t="n">
        <x:f>FC_AMT*B4</x:f>
        <x:v>4931212.499999999</x:v>
      </x:c>
      <x:c r="D4" s="58" t="n">
        <x:f>FC_AMT*F0_in</x:f>
        <x:v>5283882.878093492</x:v>
      </x:c>
      <x:c r="E4" s="58" t="n">
        <x:f>(FC_AMT/(1+R_FC*T_DAYS/360)*S0_in)*(1+R_USD*T_DAYS/360)</x:f>
        <x:v>5283882.878093492</x:v>
      </x:c>
      <x:c r="F4" s="58" t="n">
        <x:f>FC_AMT*B4+FC_AMT*MAX(K_PUT-B4,0)-FC_AMT*PREM_PUT</x:f>
        <x:v>5084999.999999999</x:v>
      </x:c>
    </x:row>
    <x:row r="5">
      <x:c r="A5" s="60" t="n">
        <x:f>-5%+(ROW()-ROW($A$4))*1%</x:f>
        <x:v>-0.04</x:v>
      </x:c>
      <x:c r="B5" s="54" t="n">
        <x:f>S0_in*(1+A5)</x:f>
        <x:v>1.10736</x:v>
      </x:c>
      <x:c r="C5" s="58" t="n">
        <x:f>FC_AMT*B5</x:f>
        <x:v>4983120</x:v>
      </x:c>
      <x:c r="D5" s="58" t="n">
        <x:f>FC_AMT*F0_in</x:f>
        <x:v>5283882.878093492</x:v>
      </x:c>
      <x:c r="E5" s="58" t="n">
        <x:f>(FC_AMT/(1+R_FC*T_DAYS/360)*S0_in)*(1+R_USD*T_DAYS/360)</x:f>
        <x:v>5283882.878093492</x:v>
      </x:c>
      <x:c r="F5" s="58" t="n">
        <x:f>FC_AMT*B5+FC_AMT*MAX(K_PUT-B5,0)-FC_AMT*PREM_PUT</x:f>
        <x:v>5085000</x:v>
      </x:c>
    </x:row>
    <x:row r="6">
      <x:c r="A6" s="60" t="n">
        <x:f>-5%+(ROW()-ROW($A$4))*1%</x:f>
        <x:v>-0.030000000000000002</x:v>
      </x:c>
      <x:c r="B6" s="54" t="n">
        <x:f>S0_in*(1+A6)</x:f>
        <x:v>1.118895</x:v>
      </x:c>
      <x:c r="C6" s="58" t="n">
        <x:f>FC_AMT*B6</x:f>
        <x:v>5035027.5</x:v>
      </x:c>
      <x:c r="D6" s="58" t="n">
        <x:f>FC_AMT*F0_in</x:f>
        <x:v>5283882.878093492</x:v>
      </x:c>
      <x:c r="E6" s="58" t="n">
        <x:f>(FC_AMT/(1+R_FC*T_DAYS/360)*S0_in)*(1+R_USD*T_DAYS/360)</x:f>
        <x:v>5283882.878093492</x:v>
      </x:c>
      <x:c r="F6" s="58" t="n">
        <x:f>FC_AMT*B6+FC_AMT*MAX(K_PUT-B6,0)-FC_AMT*PREM_PUT</x:f>
        <x:v>5085000</x:v>
      </x:c>
    </x:row>
    <x:row r="7">
      <x:c r="A7" s="60" t="n">
        <x:f>-5%+(ROW()-ROW($A$4))*1%</x:f>
        <x:v>-0.020000000000000004</x:v>
      </x:c>
      <x:c r="B7" s="54" t="n">
        <x:f>S0_in*(1+A7)</x:f>
        <x:v>1.13043</x:v>
      </x:c>
      <x:c r="C7" s="58" t="n">
        <x:f>FC_AMT*B7</x:f>
        <x:v>5086935</x:v>
      </x:c>
      <x:c r="D7" s="58" t="n">
        <x:f>FC_AMT*F0_in</x:f>
        <x:v>5283882.878093492</x:v>
      </x:c>
      <x:c r="E7" s="58" t="n">
        <x:f>(FC_AMT/(1+R_FC*T_DAYS/360)*S0_in)*(1+R_USD*T_DAYS/360)</x:f>
        <x:v>5283882.878093492</x:v>
      </x:c>
      <x:c r="F7" s="58" t="n">
        <x:f>FC_AMT*B7+FC_AMT*MAX(K_PUT-B7,0)-FC_AMT*PREM_PUT</x:f>
        <x:v>5084999.999999999</x:v>
      </x:c>
    </x:row>
    <x:row r="8">
      <x:c r="A8" s="60" t="n">
        <x:f>-5%+(ROW()-ROW($A$4))*1%</x:f>
        <x:v>-0.010000000000000002</x:v>
      </x:c>
      <x:c r="B8" s="54" t="n">
        <x:f>S0_in*(1+A8)</x:f>
        <x:v>1.141965</x:v>
      </x:c>
      <x:c r="C8" s="58" t="n">
        <x:f>FC_AMT*B8</x:f>
        <x:v>5138842.5</x:v>
      </x:c>
      <x:c r="D8" s="58" t="n">
        <x:f>FC_AMT*F0_in</x:f>
        <x:v>5283882.878093492</x:v>
      </x:c>
      <x:c r="E8" s="58" t="n">
        <x:f>(FC_AMT/(1+R_FC*T_DAYS/360)*S0_in)*(1+R_USD*T_DAYS/360)</x:f>
        <x:v>5283882.878093492</x:v>
      </x:c>
      <x:c r="F8" s="58" t="n">
        <x:f>FC_AMT*B8+FC_AMT*MAX(K_PUT-B8,0)-FC_AMT*PREM_PUT</x:f>
        <x:v>5085000</x:v>
      </x:c>
    </x:row>
    <x:row r="9">
      <x:c r="A9" s="60" t="n">
        <x:f>-5%+(ROW()-ROW($A$4))*1%</x:f>
        <x:v>0</x:v>
      </x:c>
      <x:c r="B9" s="54" t="n">
        <x:f>S0_in*(1+A9)</x:f>
        <x:v>1.1535</x:v>
      </x:c>
      <x:c r="C9" s="58" t="n">
        <x:f>FC_AMT*B9</x:f>
        <x:v>5190750</x:v>
      </x:c>
      <x:c r="D9" s="58" t="n">
        <x:f>FC_AMT*F0_in</x:f>
        <x:v>5283882.878093492</x:v>
      </x:c>
      <x:c r="E9" s="58" t="n">
        <x:f>(FC_AMT/(1+R_FC*T_DAYS/360)*S0_in)*(1+R_USD*T_DAYS/360)</x:f>
        <x:v>5283882.878093492</x:v>
      </x:c>
      <x:c r="F9" s="58" t="n">
        <x:f>FC_AMT*B9+FC_AMT*MAX(K_PUT-B9,0)-FC_AMT*PREM_PUT</x:f>
        <x:v>5100750</x:v>
      </x:c>
    </x:row>
    <x:row r="10">
      <x:c r="A10" s="60" t="n">
        <x:f>-5%+(ROW()-ROW($A$4))*1%</x:f>
        <x:v>0.009999999999999995</x:v>
      </x:c>
      <x:c r="B10" s="54" t="n">
        <x:f>S0_in*(1+A10)</x:f>
        <x:v>1.165035</x:v>
      </x:c>
      <x:c r="C10" s="58" t="n">
        <x:f>FC_AMT*B10</x:f>
        <x:v>5242657.5</x:v>
      </x:c>
      <x:c r="D10" s="58" t="n">
        <x:f>FC_AMT*F0_in</x:f>
        <x:v>5283882.878093492</x:v>
      </x:c>
      <x:c r="E10" s="58" t="n">
        <x:f>(FC_AMT/(1+R_FC*T_DAYS/360)*S0_in)*(1+R_USD*T_DAYS/360)</x:f>
        <x:v>5283882.878093492</x:v>
      </x:c>
      <x:c r="F10" s="58" t="n">
        <x:f>FC_AMT*B10+FC_AMT*MAX(K_PUT-B10,0)-FC_AMT*PREM_PUT</x:f>
        <x:v>5152657.5</x:v>
      </x:c>
    </x:row>
    <x:row r="11">
      <x:c r="A11" s="60" t="n">
        <x:f>-5%+(ROW()-ROW($A$4))*1%</x:f>
        <x:v>0.020000000000000004</x:v>
      </x:c>
      <x:c r="B11" s="54" t="n">
        <x:f>S0_in*(1+A11)</x:f>
        <x:v>1.17657</x:v>
      </x:c>
      <x:c r="C11" s="58" t="n">
        <x:f>FC_AMT*B11</x:f>
        <x:v>5294564.999999999</x:v>
      </x:c>
      <x:c r="D11" s="58" t="n">
        <x:f>FC_AMT*F0_in</x:f>
        <x:v>5283882.878093492</x:v>
      </x:c>
      <x:c r="E11" s="58" t="n">
        <x:f>(FC_AMT/(1+R_FC*T_DAYS/360)*S0_in)*(1+R_USD*T_DAYS/360)</x:f>
        <x:v>5283882.878093492</x:v>
      </x:c>
      <x:c r="F11" s="58" t="n">
        <x:f>FC_AMT*B11+FC_AMT*MAX(K_PUT-B11,0)-FC_AMT*PREM_PUT</x:f>
        <x:v>5204564.999999999</x:v>
      </x:c>
    </x:row>
    <x:row r="12">
      <x:c r="A12" s="60" t="n">
        <x:f>-5%+(ROW()-ROW($A$4))*1%</x:f>
        <x:v>0.03</x:v>
      </x:c>
      <x:c r="B12" s="54" t="n">
        <x:f>S0_in*(1+A12)</x:f>
        <x:v>1.188105</x:v>
      </x:c>
      <x:c r="C12" s="58" t="n">
        <x:f>FC_AMT*B12</x:f>
        <x:v>5346472.5</x:v>
      </x:c>
      <x:c r="D12" s="58" t="n">
        <x:f>FC_AMT*F0_in</x:f>
        <x:v>5283882.878093492</x:v>
      </x:c>
      <x:c r="E12" s="58" t="n">
        <x:f>(FC_AMT/(1+R_FC*T_DAYS/360)*S0_in)*(1+R_USD*T_DAYS/360)</x:f>
        <x:v>5283882.878093492</x:v>
      </x:c>
      <x:c r="F12" s="58" t="n">
        <x:f>FC_AMT*B12+FC_AMT*MAX(K_PUT-B12,0)-FC_AMT*PREM_PUT</x:f>
        <x:v>5256472.5</x:v>
      </x:c>
    </x:row>
    <x:row r="13">
      <x:c r="A13" s="60" t="n">
        <x:f>-5%+(ROW()-ROW($A$4))*1%</x:f>
        <x:v>0.039999999999999994</x:v>
      </x:c>
      <x:c r="B13" s="54" t="n">
        <x:f>S0_in*(1+A13)</x:f>
        <x:v>1.19964</x:v>
      </x:c>
      <x:c r="C13" s="58" t="n">
        <x:f>FC_AMT*B13</x:f>
        <x:v>5398380</x:v>
      </x:c>
      <x:c r="D13" s="58" t="n">
        <x:f>FC_AMT*F0_in</x:f>
        <x:v>5283882.878093492</x:v>
      </x:c>
      <x:c r="E13" s="58" t="n">
        <x:f>(FC_AMT/(1+R_FC*T_DAYS/360)*S0_in)*(1+R_USD*T_DAYS/360)</x:f>
        <x:v>5283882.878093492</x:v>
      </x:c>
      <x:c r="F13" s="58" t="n">
        <x:f>FC_AMT*B13+FC_AMT*MAX(K_PUT-B13,0)-FC_AMT*PREM_PUT</x:f>
        <x:v>5308380</x:v>
      </x:c>
    </x:row>
    <x:row r="14">
      <x:c r="A14" s="60" t="n">
        <x:f>-5%+(ROW()-ROW($A$4))*1%</x:f>
        <x:v>0.05</x:v>
      </x:c>
      <x:c r="B14" s="54" t="n">
        <x:f>S0_in*(1+A14)</x:f>
        <x:v>1.2111750000000001</x:v>
      </x:c>
      <x:c r="C14" s="58" t="n">
        <x:f>FC_AMT*B14</x:f>
        <x:v>5450287.500000001</x:v>
      </x:c>
      <x:c r="D14" s="58" t="n">
        <x:f>FC_AMT*F0_in</x:f>
        <x:v>5283882.878093492</x:v>
      </x:c>
      <x:c r="E14" s="58" t="n">
        <x:f>(FC_AMT/(1+R_FC*T_DAYS/360)*S0_in)*(1+R_USD*T_DAYS/360)</x:f>
        <x:v>5283882.878093492</x:v>
      </x:c>
      <x:c r="F14" s="58" t="n">
        <x:f>FC_AMT*B14+FC_AMT*MAX(K_PUT-B14,0)-FC_AMT*PREM_PUT</x:f>
        <x:v>5360287.500000001</x:v>
      </x:c>
    </x:row>
    <x:row r="17">
      <x:c r="A17" s="10" t="str">
        <x:v>Live Validation Checks</x:v>
      </x:c>
      <x:c r="B17" s="10"/>
      <x:c r="C17" s="10"/>
      <x:c r="D17" s="10"/>
      <x:c r="E17" s="10"/>
      <x:c r="F17" s="10"/>
    </x:row>
    <x:row r="18">
      <x:c r="A18" t="str">
        <x:v>Check</x:v>
      </x:c>
      <x:c r="B18" t="str">
        <x:v>Result</x:v>
      </x:c>
      <x:c r="C18" t="str">
        <x:v>Status</x:v>
      </x:c>
    </x:row>
    <x:row r="19">
      <x:c r="A19" t="str">
        <x:v>Forward ≈ MM parity</x:v>
      </x:c>
      <x:c r="B19" s="62" t="n">
        <x:f>ABS(Forward_Hedge!B6-Money_Market_Hedge!C10)</x:f>
        <x:v>0</x:v>
      </x:c>
      <x:c r="C19" s="32" t="str">
        <x:f>IF(B19&lt;10,"PASS","REVIEW")</x:f>
        <x:v>PASS</x:v>
      </x:c>
    </x:row>
    <x:row r="20">
      <x:c r="A20" t="str">
        <x:v>Option continuity at put strike</x:v>
      </x:c>
      <x:c r="B20" s="62" t="n">
        <x:f>ABS((FC_AMT*K_PUT-FC_AMT*PREM_PUT)-(FC_AMT*K_PUT+FC_AMT*MAX(K_PUT-K_PUT,0)-FC_AMT*PREM_PUT))</x:f>
        <x:v>0</x:v>
      </x:c>
      <x:c r="C20" s="32" t="str">
        <x:f>IF(B20&lt;1,"PASS","REVIEW")</x:f>
        <x:v>PASS</x:v>
      </x:c>
    </x:row>
    <x:row r="21">
      <x:c r="A21" t="str">
        <x:v>Sensitivity row count</x:v>
      </x:c>
      <x:c r="B21" s="64" t="n">
        <x:f>ROWS(A4:A14)</x:f>
        <x:v>11</x:v>
      </x:c>
      <x:c r="C21" s="32" t="str">
        <x:f>IF(B21=11,"PASS","REVIEW")</x:f>
        <x:v>PASS</x:v>
      </x:c>
    </x:row>
    <x:row r="22">
      <x:c r="A22" t="str">
        <x:v>Sensitivity endpoints</x:v>
      </x:c>
      <x:c r="B22" s="66" t="n">
        <x:f>ABS(B4-S0_in*0.95)+ABS(B14-S0_in*1.05)</x:f>
        <x:v>0</x:v>
      </x:c>
      <x:c r="C22" s="32" t="str">
        <x:f>IF(B22&lt;0.000001,"PASS","REVIEW")</x:f>
        <x:v>PASS</x:v>
      </x:c>
    </x:row>
    <x:row r="25">
      <x:c r="A25" s="71" t="str">
        <x:v>Phase 4 FX Hedging Lab Cross-Check</x:v>
      </x:c>
      <x:c r="B25" s="71"/>
      <x:c r="C25" s="71"/>
      <x:c r="D25" s="71"/>
      <x:c r="E25" s="71"/>
      <x:c r="F25" s="71"/>
    </x:row>
    <x:row r="26">
      <x:c r="A26" s="73" t="str">
        <x:v>Metric</x:v>
      </x:c>
      <x:c r="B26" s="73" t="str">
        <x:v>Workbook</x:v>
      </x:c>
      <x:c r="C26" s="73" t="str">
        <x:v>Lab-equation benchmark</x:v>
      </x:c>
      <x:c r="D26" s="73" t="str">
        <x:v>Difference</x:v>
      </x:c>
    </x:row>
    <x:row r="27">
      <x:c r="A27" t="str">
        <x:v>Forward proceeds</x:v>
      </x:c>
      <x:c r="B27" s="75" t="n">
        <x:f>Forward_Hedge!B6</x:f>
        <x:v>5283882.878093492</x:v>
      </x:c>
      <x:c r="C27" s="75" t="n">
        <x:f>FC_AMT*F0_in</x:f>
        <x:v>5283882.878093492</x:v>
      </x:c>
      <x:c r="D27" s="75" t="n">
        <x:f>B27-C27</x:f>
        <x:v>0</x:v>
      </x:c>
    </x:row>
    <x:row r="28">
      <x:c r="A28" t="str">
        <x:v>Money-market proceeds</x:v>
      </x:c>
      <x:c r="B28" s="75" t="n">
        <x:f>Money_Market_Hedge!C10</x:f>
        <x:v>5283882.878093492</x:v>
      </x:c>
      <x:c r="C28" s="75" t="n">
        <x:f>(FC_AMT/(1+R_FC*T_DAYS/360)*S0_in)*(1+R_USD*T_DAYS/360)</x:f>
        <x:v>5283882.878093492</x:v>
      </x:c>
      <x:c r="D28" s="75" t="n">
        <x:f>B28-C28</x:f>
        <x:v>0</x:v>
      </x:c>
    </x:row>
    <x:row r="29">
      <x:c r="A29" t="str">
        <x:v>Put net proceeds at S_T = S0_in</x:v>
      </x:c>
      <x:c r="B29" s="75" t="n">
        <x:f>FC_AMT*S0_in+FC_AMT*MAX(K_PUT-S0_in,0)-FC_AMT*PREM_PUT</x:f>
        <x:v>5100750</x:v>
      </x:c>
      <x:c r="C29" s="75" t="n">
        <x:f>FC_AMT*MAX(S0_in,K_PUT)-FC_AMT*PREM_PUT</x:f>
        <x:v>5100750</x:v>
      </x:c>
      <x:c r="D29" s="75" t="n">
        <x:f>B29-C29</x:f>
        <x:v>0</x:v>
      </x:c>
    </x:row>
    <x:row r="30">
      <x:c r="A30" t="str">
        <x:v>Parity implied forward</x:v>
      </x:c>
      <x:c r="B30" s="76" t="n">
        <x:f>Money_Market_Hedge!C7</x:f>
        <x:v>1.174196195131887</x:v>
      </x:c>
      <x:c r="C30" s="76" t="n">
        <x:f>S0_in*(1+R_USD*T_DAYS/360)/(1+R_FC*T_DAYS/360)</x:f>
        <x:v>1.174196195131887</x:v>
      </x:c>
      <x:c r="D30" s="76" t="n">
        <x:f>B30-C30</x:f>
        <x:v>0</x:v>
      </x:c>
    </x:row>
  </x:sheetData>
  <x:mergeCells>
    <x:mergeCell ref="A1:F1"/>
    <x:mergeCell ref="A17:F17"/>
    <x:mergeCell ref="A25:F25"/>
  </x:mergeCells>
  <x:pageMargins left="0.7" right="0.7" top="0.75" bottom="0.75" header="0.3" footer="0.3"/>
  <x:drawing xmlns:r="http://schemas.openxmlformats.org/officeDocument/2006/relationships" r:id="Rad008ca1fd364741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28" customHeight="1">
      <x:c r="A1" s="18" t="str">
        <x:v>Notes &amp; Assumptions</x:v>
      </x:c>
      <x:c r="B1" s="18"/>
      <x:c r="C1" s="18"/>
      <x:c r="D1" s="18"/>
      <x:c r="E1" s="18"/>
      <x:c r="F1" s="18"/>
      <x:c r="G1" s="18"/>
    </x:row>
    <x:row r="2">
      <x:c r="A2" s="19"/>
      <x:c r="B2" s="19"/>
      <x:c r="C2" s="19"/>
      <x:c r="D2" s="19"/>
      <x:c r="E2" s="19"/>
      <x:c r="F2" s="19"/>
      <x:c r="G2" s="19"/>
    </x:row>
    <x:row r="3">
      <x:c r="A3" s="21" t="str">
        <x:v>Topic</x:v>
      </x:c>
      <x:c r="B3" s="21" t="str">
        <x:v>Assumption / Constraint</x:v>
      </x:c>
      <x:c r="C3" s="21" t="str">
        <x:v>Phase 4 Resolution</x:v>
      </x:c>
      <x:c r="D3" s="19"/>
      <x:c r="E3" s="19"/>
      <x:c r="F3" s="19"/>
      <x:c r="G3" s="19"/>
    </x:row>
    <x:row r="4">
      <x:c r="A4" s="19" t="str">
        <x:v>Data status</x:v>
      </x:c>
      <x:c r="B4" s="35" t="str">
        <x:v>Phase 3 placeholders replaced with Phase 4 market inputs.</x:v>
      </x:c>
      <x:c r="C4" s="19" t="str">
        <x:v>Live / sourced values loaded on 2026-08-07.</x:v>
      </x:c>
      <x:c r="D4" s="19"/>
      <x:c r="E4" s="19"/>
      <x:c r="F4" s="19"/>
      <x:c r="G4" s="19"/>
    </x:row>
    <x:row r="5">
      <x:c r="A5" s="19" t="str">
        <x:v>FX convention</x:v>
      </x:c>
      <x:c r="B5" s="35" t="str">
        <x:v>EURUSD is USD per EUR.</x:v>
      </x:c>
      <x:c r="C5" s="19" t="str">
        <x:v>ECB reference rate used: 1.1535.</x:v>
      </x:c>
      <x:c r="D5" s="19"/>
      <x:c r="E5" s="19"/>
      <x:c r="F5" s="19"/>
      <x:c r="G5" s="19"/>
    </x:row>
    <x:row r="6">
      <x:c r="A6" s="19" t="str">
        <x:v>Day count</x:v>
      </x:c>
      <x:c r="B6" s="35" t="str">
        <x:v>ACT/360 simple annualized rates.</x:v>
      </x:c>
      <x:c r="C6" s="19" t="str">
        <x:v>Retained to match course FX Hedging Lab.</x:v>
      </x:c>
      <x:c r="D6" s="19"/>
      <x:c r="E6" s="19"/>
      <x:c r="F6" s="19"/>
      <x:c r="G6" s="19"/>
    </x:row>
    <x:row r="7">
      <x:c r="A7" s="19" t="str">
        <x:v>USD rate</x:v>
      </x:c>
      <x:c r="B7" s="35" t="str">
        <x:v>1-year maturity should match the one-year exposure.</x:v>
      </x:c>
      <x:c r="C7" s="19" t="str">
        <x:v>Used latest published 1-year Treasury constant maturity: 4.06% (2026-08-06).</x:v>
      </x:c>
      <x:c r="D7" s="19"/>
      <x:c r="E7" s="19"/>
      <x:c r="F7" s="19"/>
      <x:c r="G7" s="19"/>
    </x:row>
    <x:row r="8">
      <x:c r="A8" s="19" t="str">
        <x:v>EUR rate</x:v>
      </x:c>
      <x:c r="B8" s="35" t="str">
        <x:v>A comparable one-year euro yield was not reliably retrievable at build time.</x:v>
      </x:c>
      <x:c r="C8" s="19" t="str">
        <x:v>Used ECB deposit facility 2.25% as an explicitly documented reference-rate proxy.</x:v>
      </x:c>
      <x:c r="D8" s="19"/>
      <x:c r="E8" s="19"/>
      <x:c r="F8" s="19"/>
      <x:c r="G8" s="19"/>
    </x:row>
    <x:row r="9">
      <x:c r="A9" s="19" t="str">
        <x:v>Forward</x:v>
      </x:c>
      <x:c r="B9" s="35" t="str">
        <x:v>Live dealer forward not used.</x:v>
      </x:c>
      <x:c r="C9" s="19" t="str">
        <x:v>Computed CIP-implied forward: 1.174196 USD/EUR.</x:v>
      </x:c>
      <x:c r="D9" s="19"/>
      <x:c r="E9" s="19"/>
      <x:c r="F9" s="19"/>
      <x:c r="G9" s="19"/>
    </x:row>
    <x:row r="10">
      <x:c r="A10" s="19" t="str">
        <x:v>Premium treatment</x:v>
      </x:c>
      <x:c r="B10" s="35" t="str">
        <x:v>Scenario premiums remain fixed per assignment.</x:v>
      </x:c>
      <x:c r="C10" s="19" t="str">
        <x:v>Put 0.020 USD/EUR; call 0.018 USD/EUR.</x:v>
      </x:c>
      <x:c r="D10" s="19"/>
      <x:c r="E10" s="19"/>
      <x:c r="F10" s="19"/>
      <x:c r="G10" s="19"/>
    </x:row>
    <x:row r="11">
      <x:c r="A11" s="19" t="str">
        <x:v>Option strikes</x:v>
      </x:c>
      <x:c r="B11" s="35" t="str">
        <x:v>Strikes should be at/near live spot.</x:v>
      </x:c>
      <x:c r="C11" s="19" t="str">
        <x:v>Selected K_PUT 1.15 and K_CALL 1.16 around spot 1.1535.</x:v>
      </x:c>
      <x:c r="D11" s="19"/>
      <x:c r="E11" s="19"/>
      <x:c r="F11" s="19"/>
      <x:c r="G11" s="19"/>
    </x:row>
    <x:row r="12">
      <x:c r="A12" s="19"/>
      <x:c r="B12" s="19"/>
      <x:c r="C12" s="19"/>
      <x:c r="D12" s="19"/>
      <x:c r="E12" s="19"/>
      <x:c r="F12" s="19"/>
      <x:c r="G12" s="19"/>
    </x:row>
    <x:row r="13">
      <x:c r="A13" s="21" t="str">
        <x:v>Phase 4 Data Sources</x:v>
      </x:c>
      <x:c r="B13" s="21"/>
      <x:c r="C13" s="21"/>
      <x:c r="D13" s="21"/>
      <x:c r="E13" s="21"/>
      <x:c r="F13" s="21"/>
      <x:c r="G13" s="21"/>
    </x:row>
    <x:row r="14">
      <x:c r="A14" s="21" t="str">
        <x:v>Input</x:v>
      </x:c>
      <x:c r="B14" s="21" t="str">
        <x:v>Candidate source</x:v>
      </x:c>
      <x:c r="C14" s="21" t="str">
        <x:v>URL</x:v>
      </x:c>
      <x:c r="D14" s="19"/>
      <x:c r="E14" s="19"/>
      <x:c r="F14" s="19"/>
      <x:c r="G14" s="19"/>
    </x:row>
    <x:row r="15">
      <x:c r="A15" s="19" t="str">
        <x:v>Spot EURUSD</x:v>
      </x:c>
      <x:c r="B15" s="19" t="str">
        <x:v>Federal Reserve / market data</x:v>
      </x:c>
      <x:c r="C15" s="19" t="str">
        <x:v>https://fred.stlouisfed.org/series/DEXUSEU</x:v>
      </x:c>
      <x:c r="D15" s="19"/>
      <x:c r="E15" s="19"/>
      <x:c r="F15" s="19"/>
      <x:c r="G15" s="19"/>
    </x:row>
    <x:row r="16">
      <x:c r="A16" s="19" t="str">
        <x:v>USD rate</x:v>
      </x:c>
      <x:c r="B16" s="19" t="str">
        <x:v>Federal Reserve Bank of New York SOFR</x:v>
      </x:c>
      <x:c r="C16" s="19" t="str">
        <x:v>https://www.newyorkfed.org/markets/reference-rates/sofr</x:v>
      </x:c>
      <x:c r="D16" s="19"/>
      <x:c r="E16" s="19"/>
      <x:c r="F16" s="19"/>
      <x:c r="G16" s="19"/>
    </x:row>
    <x:row r="17">
      <x:c r="A17" s="19" t="str">
        <x:v>EUR rate</x:v>
      </x:c>
      <x:c r="B17" s="19" t="str">
        <x:v>European Central Bank</x:v>
      </x:c>
      <x:c r="C17" s="19" t="str">
        <x:v>https://www.ecb.europa.eu/stats/policy_and_exchange_rates/key_ecb_interest_rates/html/index.en.html</x:v>
      </x:c>
      <x:c r="D17" s="19"/>
      <x:c r="E17" s="19"/>
      <x:c r="F17" s="19"/>
      <x:c r="G17" s="19"/>
    </x:row>
    <x:row r="18">
      <x:c r="A18" s="19" t="str">
        <x:v>Forward/options</x:v>
      </x:c>
      <x:c r="B18" s="19" t="str">
        <x:v>Observable market/dealer quotes</x:v>
      </x:c>
      <x:c r="C18" s="19" t="str">
        <x:v>Record exact provider and timestamp in Phase 4</x:v>
      </x:c>
      <x:c r="D18" s="19"/>
      <x:c r="E18" s="19"/>
      <x:c r="F18" s="19"/>
      <x:c r="G18" s="19"/>
    </x:row>
    <x:row r="19">
      <x:c r="A19" s="19"/>
      <x:c r="B19" s="19"/>
      <x:c r="C19" s="19"/>
      <x:c r="D19" s="19"/>
      <x:c r="E19" s="19"/>
      <x:c r="F19" s="19"/>
      <x:c r="G19" s="19"/>
    </x:row>
    <x:row r="20">
      <x:c r="A20" s="19"/>
      <x:c r="B20" s="19"/>
      <x:c r="C20" s="19"/>
      <x:c r="D20" s="19"/>
      <x:c r="E20" s="19"/>
      <x:c r="F20" s="19"/>
      <x:c r="G20" s="19"/>
    </x:row>
  </x:sheetData>
  <x:mergeCells>
    <x:mergeCell ref="A1:G1"/>
    <x:mergeCell ref="A13:G13"/>
  </x:mergeCells>
  <x:pageMargins left="0.7" right="0.7" top="0.75" bottom="0.75" header="0.3" footer="0.3"/>
</x:worksheet>
</file>